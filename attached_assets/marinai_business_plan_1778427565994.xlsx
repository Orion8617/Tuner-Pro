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de Negocio" state="visible" r:id="rId4"/>
    <sheet sheetId="2" name="Clientes Objetivo" state="visible" r:id="rId5"/>
    <sheet sheetId="3" name="Revenue Model" state="visible" r:id="rId6"/>
  </sheets>
  <calcPr calcId="171027"/>
</workbook>
</file>

<file path=xl/sharedStrings.xml><?xml version="1.0" encoding="utf-8"?>
<sst xmlns="http://schemas.openxmlformats.org/spreadsheetml/2006/main" count="254" uniqueCount="224">
  <si>
    <t>🚢  MARINAI · Ship Radar con IA · Plan de Negocio 2025-2026</t>
  </si>
  <si>
    <t>⚡ VENTAJA CLAVE: MarineTraffic (adquirido por Kpler 2023) era $20M ARR. Mercado LatAm completamente desatendido. AIS es gratis por ley. La IA del Cerebelo Digital es el diferenciador.</t>
  </si>
  <si>
    <t>COMPONENTE</t>
  </si>
  <si>
    <t>DETALLE</t>
  </si>
  <si>
    <t>COSTO</t>
  </si>
  <si>
    <t>TIEMPO</t>
  </si>
  <si>
    <t>FUENTE TÉCNICA</t>
  </si>
  <si>
    <t>DATOS AIS (barcos)</t>
  </si>
  <si>
    <t xml:space="preserve">AISStream.io WebSocket global · JSON tiempo real
~350,000 barcos activos mundialmente
Actualización cada 2-30 seg según velocidad</t>
  </si>
  <si>
    <t xml:space="preserve">$0/mes
(Free tier generoso)</t>
  </si>
  <si>
    <t>Ya disponible</t>
  </si>
  <si>
    <t xml:space="preserve">AISStream.io API
WebSocket JSON stream</t>
  </si>
  <si>
    <t>CARTOGRAFÍA NAVAL</t>
  </si>
  <si>
    <t xml:space="preserve">OpenSeaMap tiles: profundidades, boyas, puertos
NOAA Nautical Charts (USA + Caribe libre)
Esri Ocean Basemap (ya usamos Leaflet)</t>
  </si>
  <si>
    <t xml:space="preserve">$0/mes
Todo open source</t>
  </si>
  <si>
    <t xml:space="preserve">OpenSeaMap.org
TileServer XYZ</t>
  </si>
  <si>
    <t>DATOS CLIMA MARINO</t>
  </si>
  <si>
    <t xml:space="preserve">Open-Meteo Marine API:
Oleaje Hs, dirección, período de ola
Viento en mar, SST ya implementado en WeatherAI</t>
  </si>
  <si>
    <t xml:space="preserve">$0/mes
Ya integrado</t>
  </si>
  <si>
    <t xml:space="preserve">✅ HECHO
(Florida HUD)</t>
  </si>
  <si>
    <t xml:space="preserve">api.open-meteo.com
marine endpoint</t>
  </si>
  <si>
    <t>DETECCIÓN DE ANOMALÍAS SNN</t>
  </si>
  <si>
    <t xml:space="preserve">Cerebelo Digital analiza cada buque:
• Desvío de ruta vs. histórico AIS
• Ghost ship: AIS apagado (oscilación)
• Velocidad anómala en zona de tráfico
• Riesgo de colisión por convergencia
• Tiempo en zona restringida</t>
  </si>
  <si>
    <t xml:space="preserve">Ingenio propio
$0 extra</t>
  </si>
  <si>
    <t xml:space="preserve">2-3 semanas
de desarrollo</t>
  </si>
  <si>
    <t xml:space="preserve">weatherService.js
calcTornadoRisk() como base
SNN brazos adaptativos</t>
  </si>
  <si>
    <t>INFRAESTRUCTURA BACKEND</t>
  </si>
  <si>
    <t xml:space="preserve">Node.js + Express
WebSocket server para relay AIS
SQLite para historial de rutas (Cerebelo)
Cache AIS: 30 seg TTL por vessel</t>
  </si>
  <si>
    <t xml:space="preserve">$0 dev
$7/mes prod
(Replit Autoscale)</t>
  </si>
  <si>
    <t>1 semana</t>
  </si>
  <si>
    <t xml:space="preserve">api-plugin.js
archivo existente extendido</t>
  </si>
  <si>
    <t>HUD FRONTEND</t>
  </si>
  <si>
    <t xml:space="preserve">React + Leaflet · tema oscuro militar
Mismo design system que WeatherAI
Paleta azul-cian #00CCFF para MarineAI
Panel SNN de inteligencia por buque</t>
  </si>
  <si>
    <t xml:space="preserve">$0
Reutiliza codebase</t>
  </si>
  <si>
    <t>2-3 semanas</t>
  </si>
  <si>
    <t xml:space="preserve">Louisiana.jsx como template
MapLayerPanel reutilizable</t>
  </si>
  <si>
    <t>MODELO FREEMIUM B2C</t>
  </si>
  <si>
    <t xml:space="preserve">Free: 50 barcos visibles, datos básicos AIS
Pro $15/mes: todos los barcos, historial 7 días,
alertas SNN, overlay clima marino</t>
  </si>
  <si>
    <t xml:space="preserve">MRR objetivo:
200 users = $3K/mes
500 users = $7.5K/mes</t>
  </si>
  <si>
    <t>Mes 2-3</t>
  </si>
  <si>
    <t xml:space="preserve">Stripe (ya implementado
en WeatherAI)</t>
  </si>
  <si>
    <t>MODELO FLEET B2B</t>
  </si>
  <si>
    <t xml:space="preserve">$199/mes por flota 1-20 buques
$499/mes flota 21-100 buques
Alertas en tiempo real, API webhook,
reportes PDF automáticos, dashboard privado</t>
  </si>
  <si>
    <t xml:space="preserve">10 flotas = $2K/mes
50 flotas = $10K-25K/mes</t>
  </si>
  <si>
    <t>Mes 3-6</t>
  </si>
  <si>
    <t xml:space="preserve">B2B empresas navieras
Centroamérica + Caribe</t>
  </si>
  <si>
    <t>MODELO PORT AUTHORITY</t>
  </si>
  <si>
    <t xml:space="preserve">$500-2000/mes por autoridad portuaria
Visibilidad total tráfico entrante/saliente
Detección AIS falso (spoofing)
Integración con sistemas aduaneros</t>
  </si>
  <si>
    <t xml:space="preserve">3 puertos = $4.5K/mes
10 puertos = $15K/mes</t>
  </si>
  <si>
    <t>Mes 4-8</t>
  </si>
  <si>
    <t xml:space="preserve">ENP Puerto Cortés
APMT, ICTSI operadores</t>
  </si>
  <si>
    <t>MODELO ENTERPRISE API</t>
  </si>
  <si>
    <t xml:space="preserve">$0.001 por mensaje AIS procesado
Competidores: Datalastic €679/mes (ilimitado)
Nosotros: $0.001/msg = $1K por 1M mensajes
Cargo traders, insurers, Coast Guard</t>
  </si>
  <si>
    <t xml:space="preserve">Escala infinita
Margen ~85%</t>
  </si>
  <si>
    <t>Mes 6-12</t>
  </si>
  <si>
    <t xml:space="preserve">Commodity traders
Maritime insurers</t>
  </si>
  <si>
    <t>OBJETIVO AÑO 1</t>
  </si>
  <si>
    <t xml:space="preserve">B2C: 500 Pro users × $15 = $7.5K MRR
B2B Fleet: 30 flotas × $250 avg = $7.5K MRR
Port: 3 puertos × $1K avg = $3K MRR
API: 5M msg/mes × $0.001 = $5K MRR
→ TOTAL: $23K MRR = $276K ARR</t>
  </si>
  <si>
    <t xml:space="preserve">OPEX estimado:
$500-1000/mes
Margen neto &gt;90%</t>
  </si>
  <si>
    <t>Mes 12</t>
  </si>
  <si>
    <t xml:space="preserve">Comparable: MarineTraffic
$20M antes de Kpler
Empezó con $0 en 2007</t>
  </si>
  <si>
    <t>TIER</t>
  </si>
  <si>
    <t>EMPRESA / ORGANIZACIÓN</t>
  </si>
  <si>
    <t>PAÍS</t>
  </si>
  <si>
    <t>SEGMENTO</t>
  </si>
  <si>
    <t xml:space="preserve">FIT
(1-5)</t>
  </si>
  <si>
    <t xml:space="preserve">DEAL EST.
(USD/año)</t>
  </si>
  <si>
    <t>CONTACTO TARGET</t>
  </si>
  <si>
    <t>PAIN POINT</t>
  </si>
  <si>
    <t>TRIGGER</t>
  </si>
  <si>
    <t>WHY NOW (email opener)</t>
  </si>
  <si>
    <t>T1</t>
  </si>
  <si>
    <t xml:space="preserve">ENP – Empresa Nacional Portuaria
(Puerto Cortés)</t>
  </si>
  <si>
    <t>Honduras 🇭🇳</t>
  </si>
  <si>
    <t>Port Authority</t>
  </si>
  <si>
    <t>$12,000-24,000</t>
  </si>
  <si>
    <t xml:space="preserve">Gerente de Operaciones
Gerente de Sistemas</t>
  </si>
  <si>
    <t>Sin inteligencia de tráfico en tiempo real. Planificación de berths manual. Sin detección de buques en demora.</t>
  </si>
  <si>
    <t>Puerto Cortés completó expansión Muelle 6 ($145M). Capacidad nueva: 1.8M TEU. Necesitan sistema de gestión tráfico.</t>
  </si>
  <si>
    <t>Puerto Cortés es el 36° más grande del mundo sin un sistema de maritime intelligence moderno. Cada hora de delay en berth cuesta $15K+.</t>
  </si>
  <si>
    <t xml:space="preserve">APMT – APM Terminals Moín
(Puerto Moín)</t>
  </si>
  <si>
    <t>Costa Rica 🇨🇷</t>
  </si>
  <si>
    <t>Terminal Operator</t>
  </si>
  <si>
    <t>$18,000-36,000</t>
  </si>
  <si>
    <t xml:space="preserve">Port Operations Manager
Head of IT</t>
  </si>
  <si>
    <t>Terminal nueva 2019, capacidad 1M TEU, necesitan sistema tracking buques entrantes con predicción ETA.</t>
  </si>
  <si>
    <t>Expansión reciente. Competencia con Puerto Caldera. Presión de eficiencia de Maersk (dueño).</t>
  </si>
  <si>
    <t>APMT Moín maneja $2.5B en comercio anual. Un sistema de arrival prediction con SNN reduce costos de pilotaje 20-30%.</t>
  </si>
  <si>
    <t xml:space="preserve">ICTSI – Operadora Portuaria
Centroamericana (OPC Cortés)</t>
  </si>
  <si>
    <t>$15,000-30,000</t>
  </si>
  <si>
    <t xml:space="preserve">VP Operations LatAm
Systems Manager</t>
  </si>
  <si>
    <t>Operan Puerto Cortés container terminal. Necesitan dashboard unificado de tráfico marítimo + clima.</t>
  </si>
  <si>
    <t>ICTSI expandiendo footprint en LatAm 2024-2025. 32 ports worldwide, empezando digitalización LatAm.</t>
  </si>
  <si>
    <t>ICTSI acaba de lanzar ICTSI One digital platform. MarineAI puede ser el componente de maritime intelligence que les falta.</t>
  </si>
  <si>
    <t xml:space="preserve">SAAM Puertos
(múltiples terminales)</t>
  </si>
  <si>
    <t>Chile/Regional 🇨🇱</t>
  </si>
  <si>
    <t>Port Operator</t>
  </si>
  <si>
    <t>$24,000-60,000</t>
  </si>
  <si>
    <t xml:space="preserve">Chief Digital Officer
IT Director</t>
  </si>
  <si>
    <t>8 terminales en Chile + 4 regionales. Cada uno con sistema diferente. Sin plataforma unificada de tracking.</t>
  </si>
  <si>
    <t>SAAM fusión con Bolloré Africa 2023. Expansión agresiva. Buscando digitalización.</t>
  </si>
  <si>
    <t>SAAM maneja 9M TEU anuales. Un dashboard unificado MarineAI para sus 12+ puertos = $5K/mes/puerto mínimo.</t>
  </si>
  <si>
    <t xml:space="preserve">Dole Food Company
(Reefer Fleet)</t>
  </si>
  <si>
    <t>USA/Global 🇺🇸</t>
  </si>
  <si>
    <t>Shipping Fleet</t>
  </si>
  <si>
    <t>$30,000-60,000</t>
  </si>
  <si>
    <t xml:space="preserve">VP Supply Chain
Logistics Director</t>
  </si>
  <si>
    <t>Flota de refrigerated vessels para banano/piña desde Honduras/Costa Rica. Rutas críticas, ningún retraso tolerado.</t>
  </si>
  <si>
    <t>Dole relaunching direct shipping Honduras 2024 después de logística disruptions.</t>
  </si>
  <si>
    <t>Dole envía 2M cajas de banano/semana desde Honduras. Cada hora de delay en barco = $200K+ pérdida. SNN de MarineAI predice llegada con ±2hr precisión.</t>
  </si>
  <si>
    <t xml:space="preserve">Chiquita Brands
(Banana Fleet)</t>
  </si>
  <si>
    <t>USA/Honduras 🇺🇸</t>
  </si>
  <si>
    <t>$24,000-48,000</t>
  </si>
  <si>
    <t xml:space="preserve">Head of Maritime Ops
Logistics VP</t>
  </si>
  <si>
    <t>Fleet tropical fruit desde Caribe hacia USA/Europa. Temperatura monitoreo + ETA crítico.</t>
  </si>
  <si>
    <t>Chiquita relanzando operaciones directas después de dificultades financieras 2023-2024.</t>
  </si>
  <si>
    <t>Chiquita exporta desde Puerto Cortés. Un sistema ETA prediction para sus reefer vessels reduce costo de demurrage $500K+/año.</t>
  </si>
  <si>
    <t xml:space="preserve">Fuerza Naval de Honduras
(Guardia Costera)</t>
  </si>
  <si>
    <t>Government/Defense</t>
  </si>
  <si>
    <t>$36,000-120,000</t>
  </si>
  <si>
    <t xml:space="preserve">Comandante
Jefe de Operaciones</t>
  </si>
  <si>
    <t>Detección embarcaciones sin AIS (narco tráfico marítimo), monitoreo costas caribeñas y del Pacífico.</t>
  </si>
  <si>
    <t>Honduras aumentó presupuesto defensa 2024. Cooperación con US SOUTHCOM para intercepción marítima.</t>
  </si>
  <si>
    <t>La Fuerza Naval monitorea 820km de costas. MarineAI Ghost Ship Detection (AIS off = anomaly) puede identificar embarcaciones sospechosas automáticamente.</t>
  </si>
  <si>
    <t>T2</t>
  </si>
  <si>
    <t xml:space="preserve">Mapfre Seguros
(Maritime Division)</t>
  </si>
  <si>
    <t>Spain/LatAm 🇪🇸</t>
  </si>
  <si>
    <t>Maritime Insurance</t>
  </si>
  <si>
    <t xml:space="preserve">Head of Marine Underwriting
CTO</t>
  </si>
  <si>
    <t>Underwriting de riesgo marítimo en Caribe/LatAm sin herramientas de análisis de rutas. Siniestros altos en temporada huracanes.</t>
  </si>
  <si>
    <t>Mapfre expandiendo maritime LatAm 2024. Crecimiento 15% primas marítimas región.</t>
  </si>
  <si>
    <t>MarineAI IEC score + SNN de riesgo climático por ruta = underwriting más preciso. Reducción de siniestros estimada 8-12%.</t>
  </si>
  <si>
    <t xml:space="preserve">Trafigura
(Oil Tanker Tracking)</t>
  </si>
  <si>
    <t>Switzerland/Global 🌐</t>
  </si>
  <si>
    <t>Commodity Trader</t>
  </si>
  <si>
    <t>$60,000-120,000</t>
  </si>
  <si>
    <t xml:space="preserve">Head of Freight Analytics
VP Shipping</t>
  </si>
  <si>
    <t>Tracking de 400+ tankers de petróleo. Necesitan ETA prediction y análisis de ruta anomalías para trading de derivados.</t>
  </si>
  <si>
    <t>Trafigura movió 7.2M barriles/día en 2024. Cada hora de información antes que competidores = ventaja de trading $M.</t>
  </si>
  <si>
    <t>Trafigura opera en rutas Caribe-USGC. MarineAI SNN predice ETA con histórico + clima. Diferencia de 2hrs vs. MarineTraffic = ventaja en derivatives trading.</t>
  </si>
  <si>
    <t xml:space="preserve">Grupo MAERSK
(Caribbean Operations)</t>
  </si>
  <si>
    <t>Denmark/Global 🇩🇰</t>
  </si>
  <si>
    <t>Shipping Line</t>
  </si>
  <si>
    <t>$48,000-96,000</t>
  </si>
  <si>
    <t xml:space="preserve">Head of Digital LatAm
Port Operations Manager</t>
  </si>
  <si>
    <t>Maersk digitalizando operaciones LatAm. Gap en maritime intelligence granular para puertos secundarios Caribe.</t>
  </si>
  <si>
    <t>Maersk lanzó Captain Peter AI platform 2024 pero sin cobertura granular LatAm ports.</t>
  </si>
  <si>
    <t>Maersk tiene 100+ vessels en rutas Caribe. MarineAI puede ser el complemento regional para puertos que su sistema global no cubre.</t>
  </si>
  <si>
    <t xml:space="preserve">SEAPESCA / Pesquera
Industrial Honduras</t>
  </si>
  <si>
    <t>Fishing Fleet</t>
  </si>
  <si>
    <t>$6,000-18,000</t>
  </si>
  <si>
    <t xml:space="preserve">Gerente de Flota
Director de Operaciones</t>
  </si>
  <si>
    <t>Flota atunera/camaronera sin sistema tracking centralizado. Pérdida de buques, coordinación manual.</t>
  </si>
  <si>
    <t>Regulaciones SIECA pesca industrial 2024 exigen reporting de posición.</t>
  </si>
  <si>
    <t>El 40% de la flota pesquera industrial Honduras no tiene tracking en tiempo real. MarineAI Fleet $199/mes vs. VMS propietario $2K+ de instalación.</t>
  </si>
  <si>
    <t xml:space="preserve">Caribbean Container Line
(CCL)</t>
  </si>
  <si>
    <t>Bahamas/Caribe 🌴</t>
  </si>
  <si>
    <t>Regional Shipping</t>
  </si>
  <si>
    <t xml:space="preserve">Fleet Manager
Operations Director</t>
  </si>
  <si>
    <t>Línea regional Caribe sin sistema ETA automatizado. Retrasos frecuentes por clima. Clientes insatisfechos.</t>
  </si>
  <si>
    <t>CCL expandiendo rutas islas menores Caribe 2024-2025.</t>
  </si>
  <si>
    <t>CCL opera en rutas que cruzan callejón de huracanes. MarineAI con overlay Open-Meteo Marine = primera alerta en ruta con recomendación de desvío SNN.</t>
  </si>
  <si>
    <t>T3</t>
  </si>
  <si>
    <t xml:space="preserve">Marina del Rey / Marinas
Privadas Honduras</t>
  </si>
  <si>
    <t>Marina/B2C</t>
  </si>
  <si>
    <t>$2,400-6,000</t>
  </si>
  <si>
    <t xml:space="preserve">Marina Manager
Harbourmaster</t>
  </si>
  <si>
    <t>Sin dashboard de tráfico de yates y embarcaciones privadas en bahía. Control manual de entradas/salidas.</t>
  </si>
  <si>
    <t>Turismo náutico Honduras creciendo post-pandemia.</t>
  </si>
  <si>
    <t>Marinas privadas: $199/mes Fleet plan para rastrear 10-50 embarcaciones locales. Primer cliente demo = proof of concept para puertos.</t>
  </si>
  <si>
    <t xml:space="preserve">Pescadores Artesanales
(Colectivos Honduras/Guatemala)</t>
  </si>
  <si>
    <t>Honduras/Guatemala 🇭🇳🇬🇹</t>
  </si>
  <si>
    <t>B2C / Safety</t>
  </si>
  <si>
    <t>$1,800-3,600</t>
  </si>
  <si>
    <t xml:space="preserve">Líder de cooperativa
Capitán</t>
  </si>
  <si>
    <t>Embarcaciones pequeñas sin VMS, sin comunicación si hay emergencias. Familias sin manera de saber posición.</t>
  </si>
  <si>
    <t>INA y SOPTRAVI Honduras habilitando programas seguridad marítima pesca artesanal 2024.</t>
  </si>
  <si>
    <t>Plan B2C $15/mes para 200 pescadores artesanales = $3K MRR. Historia de impacto social para PR y grants.</t>
  </si>
  <si>
    <t xml:space="preserve">Entidades AIS Regionales
(Potencial adquisición)</t>
  </si>
  <si>
    <t>Regional 🌎</t>
  </si>
  <si>
    <t>Strategic</t>
  </si>
  <si>
    <t xml:space="preserve">Exit potencial
$500K-5M</t>
  </si>
  <si>
    <t xml:space="preserve">Fundadores
Juntas directivas</t>
  </si>
  <si>
    <t>Plataformas AIS pequeñas sin IA, sin diferenciación, buscando exit o socio tech.</t>
  </si>
  <si>
    <t>Consolidación del mercado: Kpler adquirió MarineTraffic + Spire + FleetMon 2022-2024.</t>
  </si>
  <si>
    <t>En 18-24 meses, MarineAI con SNN y base de clientes LatAm = candidato ideal para adquisición por Kpler, Windward, o MSCI Maritime Risk.</t>
  </si>
  <si>
    <t>💰  MARINAI · Revenue Model · 12-Month Projection</t>
  </si>
  <si>
    <t>CANAL</t>
  </si>
  <si>
    <t>PRECIO/MES</t>
  </si>
  <si>
    <t xml:space="preserve">MES 3
(clientes)</t>
  </si>
  <si>
    <t xml:space="preserve">MES 6
(clientes)</t>
  </si>
  <si>
    <t xml:space="preserve">MES 9
(clientes)</t>
  </si>
  <si>
    <t xml:space="preserve">MES 12
(clientes)</t>
  </si>
  <si>
    <t xml:space="preserve">MRR
MES 12</t>
  </si>
  <si>
    <t xml:space="preserve">ARR
(×12)</t>
  </si>
  <si>
    <t>B2C Pro (marino)</t>
  </si>
  <si>
    <t>$15</t>
  </si>
  <si>
    <t>20</t>
  </si>
  <si>
    <t>80</t>
  </si>
  <si>
    <t>200</t>
  </si>
  <si>
    <t>500</t>
  </si>
  <si>
    <t>B2B Fleet 1-20 buques</t>
  </si>
  <si>
    <t>$199</t>
  </si>
  <si>
    <t>2</t>
  </si>
  <si>
    <t>8</t>
  </si>
  <si>
    <t>40</t>
  </si>
  <si>
    <t>B2B Fleet 21-100 buques</t>
  </si>
  <si>
    <t>$499</t>
  </si>
  <si>
    <t>0</t>
  </si>
  <si>
    <t>1</t>
  </si>
  <si>
    <t>4</t>
  </si>
  <si>
    <t>12</t>
  </si>
  <si>
    <t>$1,200</t>
  </si>
  <si>
    <t>Enterprise API (M msgs)</t>
  </si>
  <si>
    <t>$1,000</t>
  </si>
  <si>
    <t>3</t>
  </si>
  <si>
    <t>B2C Ads (Free tier)</t>
  </si>
  <si>
    <t>$8/user</t>
  </si>
  <si>
    <t>100</t>
  </si>
  <si>
    <t>400</t>
  </si>
  <si>
    <t>1000</t>
  </si>
  <si>
    <t>3000</t>
  </si>
  <si>
    <t>TOTAL MRR MES 12  →</t>
  </si>
  <si>
    <t>🎯 TARGET: $23K MRR = $276K ARR (mes 12)  ·  EXIT: $1-5M adquisición en 24-36 meses (Kpler adquirió MarineTraffic por ~$100M en 2023)  ·  OPEX: &lt;$1K/mes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</si>
</sst>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00CCFF"/>
      <sz val="16"/>
      <name val="Calibri"/>
    </font>
    <font>
      <b/>
      <color rgb="FFFFD700"/>
      <sz val="10"/>
      <name val="Calibri"/>
    </font>
    <font>
      <b/>
      <color rgb="FF00CCFF"/>
      <sz val="11"/>
      <name val="Calibri"/>
    </font>
    <font>
      <b/>
      <color rgb="FF00CCFF"/>
      <sz val="10"/>
      <name val="Calibri"/>
    </font>
    <font>
      <color rgb="FFFFFFFF"/>
      <sz val="10"/>
      <name val="Calibri"/>
    </font>
    <font>
      <b/>
      <color rgb="FF00FF88"/>
      <sz val="10"/>
      <name val="Calibri"/>
    </font>
    <font>
      <color rgb="FFAAAAAA"/>
      <sz val="10"/>
      <name val="Calibri"/>
    </font>
    <font>
      <b/>
      <color rgb="FFFF6600"/>
      <sz val="11"/>
      <name val="Calibri"/>
    </font>
    <font>
      <b/>
      <color rgb="FFFFFFFF"/>
      <sz val="10"/>
      <name val="Calibri"/>
    </font>
    <font>
      <color rgb="FF00CCFF"/>
      <sz val="10"/>
      <name val="Calibri"/>
    </font>
    <font>
      <color rgb="FFFFD700"/>
      <sz val="10"/>
      <name val="Calibri"/>
    </font>
    <font>
      <color rgb="FFFF6600"/>
      <sz val="10"/>
      <name val="Calibri"/>
    </font>
    <font>
      <b/>
      <color rgb="FFAAAAAA"/>
      <sz val="10"/>
      <name val="Calibri"/>
    </font>
    <font>
      <b/>
      <color rgb="FF00FF88"/>
      <sz val="15"/>
      <name val="Calibri"/>
    </font>
    <font>
      <b/>
      <color rgb="FF00FF88"/>
      <sz val="11"/>
      <name val="Calibri"/>
    </font>
    <font>
      <b/>
      <color rgb="FFFFD700"/>
      <sz val="11"/>
      <name val="Calibri"/>
    </font>
    <font>
      <b/>
      <color rgb="FF00FFAA"/>
      <sz val="10"/>
      <name val="Calibri"/>
    </font>
    <font>
      <b/>
      <color rgb="FF00FF88"/>
      <sz val="12"/>
      <name val="Calibri"/>
    </font>
    <font>
      <b/>
      <color rgb="FF00FF88"/>
      <sz val="14"/>
      <name val="Calibri"/>
    </font>
    <font>
      <b/>
      <color rgb="FF00FFAA"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1830"/>
      </patternFill>
    </fill>
    <fill>
      <patternFill patternType="solid">
        <fgColor rgb="FF003020"/>
      </patternFill>
    </fill>
    <fill>
      <patternFill patternType="solid">
        <fgColor rgb="FF0D1117"/>
      </patternFill>
    </fill>
    <fill>
      <patternFill patternType="solid">
        <fgColor rgb="FF001A10"/>
      </patternFill>
    </fill>
    <fill>
      <patternFill patternType="solid">
        <fgColor rgb="FF002010"/>
      </patternFill>
    </fill>
    <fill>
      <patternFill patternType="solid">
        <fgColor rgb="FF201400"/>
      </patternFill>
    </fill>
    <fill>
      <patternFill patternType="solid">
        <fgColor rgb="FF1A1000"/>
      </patternFill>
    </fill>
    <fill>
      <patternFill patternType="solid">
        <fgColor rgb="FF111111"/>
      </patternFill>
    </fill>
    <fill>
      <patternFill patternType="solid">
        <fgColor rgb="FF001810"/>
      </patternFill>
    </fill>
    <fill>
      <patternFill patternType="solid">
        <fgColor rgb="FF002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vertical="center" wrapText="1"/>
    </xf>
    <xf numFmtId="0" fontId="16" fillId="10" borderId="0" xfId="0" applyFont="1" applyFill="1" applyAlignment="1">
      <alignment vertical="center" wrapText="1"/>
    </xf>
    <xf numFmtId="0" fontId="6" fillId="5" borderId="0" xfId="0" applyFont="1" applyFill="1"/>
    <xf numFmtId="0" fontId="17" fillId="5" borderId="0" xfId="0" applyFont="1" applyFill="1"/>
    <xf numFmtId="0" fontId="6" fillId="6" borderId="0" xfId="0" applyFont="1" applyFill="1"/>
    <xf numFmtId="0" fontId="17" fillId="6" borderId="0" xfId="0" applyFont="1" applyFill="1"/>
    <xf numFmtId="0" fontId="18" fillId="10" borderId="0" xfId="0" applyFont="1" applyFill="1" applyAlignment="1">
      <alignment vertical="center" wrapText="1"/>
    </xf>
    <xf numFmtId="0" fontId="19" fillId="10" borderId="0" xfId="0" applyFont="1" applyFill="1"/>
    <xf numFmtId="0" fontId="20" fillId="10" borderId="0" xfId="0" applyFont="1" applyFill="1"/>
    <xf numFmtId="0" fontId="16" fillId="11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E14"/>
  <sheetFormatPr defaultRowHeight="15" outlineLevelRow="0" outlineLevelCol="0" x14ac:dyDescent="55"/>
  <cols>
    <col min="1" max="1" width="24" customWidth="1"/>
    <col min="2" max="2" width="50" customWidth="1"/>
    <col min="3" max="4" width="22" customWidth="1"/>
    <col min="5" max="5" width="30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32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68" customHeight="1" spans="1:5" x14ac:dyDescent="0.25">
      <c r="A4" s="4" t="s">
        <v>7</v>
      </c>
      <c r="B4" s="5" t="s">
        <v>8</v>
      </c>
      <c r="C4" s="6" t="s">
        <v>9</v>
      </c>
      <c r="D4" s="7" t="s">
        <v>10</v>
      </c>
      <c r="E4" s="8" t="s">
        <v>11</v>
      </c>
    </row>
    <row r="5" ht="68" customHeight="1" spans="1:5" x14ac:dyDescent="0.25">
      <c r="A5" s="9" t="s">
        <v>12</v>
      </c>
      <c r="B5" s="10" t="s">
        <v>13</v>
      </c>
      <c r="C5" s="11" t="s">
        <v>14</v>
      </c>
      <c r="D5" s="12" t="s">
        <v>10</v>
      </c>
      <c r="E5" s="13" t="s">
        <v>15</v>
      </c>
    </row>
    <row r="6" ht="68" customHeight="1" spans="1:5" x14ac:dyDescent="0.25">
      <c r="A6" s="4" t="s">
        <v>16</v>
      </c>
      <c r="B6" s="5" t="s">
        <v>17</v>
      </c>
      <c r="C6" s="6" t="s">
        <v>18</v>
      </c>
      <c r="D6" s="7" t="s">
        <v>19</v>
      </c>
      <c r="E6" s="8" t="s">
        <v>20</v>
      </c>
    </row>
    <row r="7" ht="68" customHeight="1" spans="1:5" x14ac:dyDescent="0.25">
      <c r="A7" s="9" t="s">
        <v>21</v>
      </c>
      <c r="B7" s="10" t="s">
        <v>22</v>
      </c>
      <c r="C7" s="11" t="s">
        <v>23</v>
      </c>
      <c r="D7" s="12" t="s">
        <v>24</v>
      </c>
      <c r="E7" s="13" t="s">
        <v>25</v>
      </c>
    </row>
    <row r="8" ht="68" customHeight="1" spans="1:5" x14ac:dyDescent="0.25">
      <c r="A8" s="4" t="s">
        <v>26</v>
      </c>
      <c r="B8" s="5" t="s">
        <v>27</v>
      </c>
      <c r="C8" s="6" t="s">
        <v>28</v>
      </c>
      <c r="D8" s="7" t="s">
        <v>29</v>
      </c>
      <c r="E8" s="8" t="s">
        <v>30</v>
      </c>
    </row>
    <row r="9" ht="68" customHeight="1" spans="1:5" x14ac:dyDescent="0.25">
      <c r="A9" s="9" t="s">
        <v>31</v>
      </c>
      <c r="B9" s="10" t="s">
        <v>32</v>
      </c>
      <c r="C9" s="11" t="s">
        <v>33</v>
      </c>
      <c r="D9" s="12" t="s">
        <v>34</v>
      </c>
      <c r="E9" s="13" t="s">
        <v>35</v>
      </c>
    </row>
    <row r="10" ht="68" customHeight="1" spans="1:5" x14ac:dyDescent="0.25">
      <c r="A10" s="4" t="s">
        <v>36</v>
      </c>
      <c r="B10" s="5" t="s">
        <v>37</v>
      </c>
      <c r="C10" s="6" t="s">
        <v>38</v>
      </c>
      <c r="D10" s="7" t="s">
        <v>39</v>
      </c>
      <c r="E10" s="8" t="s">
        <v>40</v>
      </c>
    </row>
    <row r="11" ht="68" customHeight="1" spans="1:5" x14ac:dyDescent="0.25">
      <c r="A11" s="9" t="s">
        <v>41</v>
      </c>
      <c r="B11" s="10" t="s">
        <v>42</v>
      </c>
      <c r="C11" s="11" t="s">
        <v>43</v>
      </c>
      <c r="D11" s="12" t="s">
        <v>44</v>
      </c>
      <c r="E11" s="13" t="s">
        <v>45</v>
      </c>
    </row>
    <row r="12" ht="68" customHeight="1" spans="1:5" x14ac:dyDescent="0.25">
      <c r="A12" s="4" t="s">
        <v>46</v>
      </c>
      <c r="B12" s="5" t="s">
        <v>47</v>
      </c>
      <c r="C12" s="6" t="s">
        <v>48</v>
      </c>
      <c r="D12" s="7" t="s">
        <v>49</v>
      </c>
      <c r="E12" s="8" t="s">
        <v>50</v>
      </c>
    </row>
    <row r="13" ht="68" customHeight="1" spans="1:5" x14ac:dyDescent="0.25">
      <c r="A13" s="9" t="s">
        <v>51</v>
      </c>
      <c r="B13" s="10" t="s">
        <v>52</v>
      </c>
      <c r="C13" s="11" t="s">
        <v>53</v>
      </c>
      <c r="D13" s="12" t="s">
        <v>54</v>
      </c>
      <c r="E13" s="13" t="s">
        <v>55</v>
      </c>
    </row>
    <row r="14" ht="68" customHeight="1" spans="1:5" x14ac:dyDescent="0.25">
      <c r="A14" s="4" t="s">
        <v>56</v>
      </c>
      <c r="B14" s="5" t="s">
        <v>57</v>
      </c>
      <c r="C14" s="6" t="s">
        <v>58</v>
      </c>
      <c r="D14" s="7" t="s">
        <v>59</v>
      </c>
      <c r="E14" s="8" t="s">
        <v>60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J16"/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20" customWidth="1"/>
    <col min="5" max="5" width="14" customWidth="1"/>
    <col min="6" max="6" width="22" customWidth="1"/>
    <col min="7" max="7" width="25" customWidth="1"/>
    <col min="8" max="8" width="35" customWidth="1"/>
    <col min="9" max="9" width="30" customWidth="1"/>
    <col min="10" max="10" width="32" customWidth="1"/>
  </cols>
  <sheetData>
    <row r="1" ht="36" customHeight="1" spans="1:10" x14ac:dyDescent="0.25">
      <c r="A1" s="14" t="s">
        <v>61</v>
      </c>
      <c r="B1" s="14" t="s">
        <v>62</v>
      </c>
      <c r="C1" s="14" t="s">
        <v>63</v>
      </c>
      <c r="D1" s="14" t="s">
        <v>64</v>
      </c>
      <c r="E1" s="14" t="s">
        <v>65</v>
      </c>
      <c r="F1" s="14" t="s">
        <v>66</v>
      </c>
      <c r="G1" s="14" t="s">
        <v>67</v>
      </c>
      <c r="H1" s="14" t="s">
        <v>68</v>
      </c>
      <c r="I1" s="14" t="s">
        <v>69</v>
      </c>
      <c r="J1" s="14" t="s">
        <v>70</v>
      </c>
    </row>
    <row r="2" ht="72" customHeight="1" spans="1:10" x14ac:dyDescent="0.25">
      <c r="A2" s="15" t="s">
        <v>71</v>
      </c>
      <c r="B2" s="16" t="s">
        <v>72</v>
      </c>
      <c r="C2" s="17" t="s">
        <v>73</v>
      </c>
      <c r="D2" s="18" t="s">
        <v>74</v>
      </c>
      <c r="E2" s="15">
        <v>5</v>
      </c>
      <c r="F2" s="15" t="s">
        <v>75</v>
      </c>
      <c r="G2" s="18" t="s">
        <v>76</v>
      </c>
      <c r="H2" s="19" t="s">
        <v>77</v>
      </c>
      <c r="I2" s="20" t="s">
        <v>78</v>
      </c>
      <c r="J2" s="21" t="s">
        <v>79</v>
      </c>
    </row>
    <row r="3" ht="72" customHeight="1" spans="1:10" x14ac:dyDescent="0.25">
      <c r="A3" s="22" t="s">
        <v>71</v>
      </c>
      <c r="B3" s="23" t="s">
        <v>80</v>
      </c>
      <c r="C3" s="24" t="s">
        <v>81</v>
      </c>
      <c r="D3" s="25" t="s">
        <v>82</v>
      </c>
      <c r="E3" s="22">
        <v>5</v>
      </c>
      <c r="F3" s="22" t="s">
        <v>83</v>
      </c>
      <c r="G3" s="25" t="s">
        <v>84</v>
      </c>
      <c r="H3" s="26" t="s">
        <v>85</v>
      </c>
      <c r="I3" s="27" t="s">
        <v>86</v>
      </c>
      <c r="J3" s="28" t="s">
        <v>87</v>
      </c>
    </row>
    <row r="4" ht="72" customHeight="1" spans="1:10" x14ac:dyDescent="0.25">
      <c r="A4" s="15" t="s">
        <v>71</v>
      </c>
      <c r="B4" s="16" t="s">
        <v>88</v>
      </c>
      <c r="C4" s="17" t="s">
        <v>73</v>
      </c>
      <c r="D4" s="18" t="s">
        <v>82</v>
      </c>
      <c r="E4" s="15">
        <v>5</v>
      </c>
      <c r="F4" s="15" t="s">
        <v>89</v>
      </c>
      <c r="G4" s="18" t="s">
        <v>90</v>
      </c>
      <c r="H4" s="19" t="s">
        <v>91</v>
      </c>
      <c r="I4" s="20" t="s">
        <v>92</v>
      </c>
      <c r="J4" s="21" t="s">
        <v>93</v>
      </c>
    </row>
    <row r="5" ht="72" customHeight="1" spans="1:10" x14ac:dyDescent="0.25">
      <c r="A5" s="22" t="s">
        <v>71</v>
      </c>
      <c r="B5" s="23" t="s">
        <v>94</v>
      </c>
      <c r="C5" s="24" t="s">
        <v>95</v>
      </c>
      <c r="D5" s="25" t="s">
        <v>96</v>
      </c>
      <c r="E5" s="29">
        <v>4</v>
      </c>
      <c r="F5" s="22" t="s">
        <v>97</v>
      </c>
      <c r="G5" s="25" t="s">
        <v>98</v>
      </c>
      <c r="H5" s="26" t="s">
        <v>99</v>
      </c>
      <c r="I5" s="27" t="s">
        <v>100</v>
      </c>
      <c r="J5" s="28" t="s">
        <v>101</v>
      </c>
    </row>
    <row r="6" ht="72" customHeight="1" spans="1:10" x14ac:dyDescent="0.25">
      <c r="A6" s="15" t="s">
        <v>71</v>
      </c>
      <c r="B6" s="16" t="s">
        <v>102</v>
      </c>
      <c r="C6" s="17" t="s">
        <v>103</v>
      </c>
      <c r="D6" s="18" t="s">
        <v>104</v>
      </c>
      <c r="E6" s="15">
        <v>5</v>
      </c>
      <c r="F6" s="15" t="s">
        <v>105</v>
      </c>
      <c r="G6" s="18" t="s">
        <v>106</v>
      </c>
      <c r="H6" s="19" t="s">
        <v>107</v>
      </c>
      <c r="I6" s="20" t="s">
        <v>108</v>
      </c>
      <c r="J6" s="21" t="s">
        <v>109</v>
      </c>
    </row>
    <row r="7" ht="72" customHeight="1" spans="1:10" x14ac:dyDescent="0.25">
      <c r="A7" s="22" t="s">
        <v>71</v>
      </c>
      <c r="B7" s="23" t="s">
        <v>110</v>
      </c>
      <c r="C7" s="24" t="s">
        <v>111</v>
      </c>
      <c r="D7" s="25" t="s">
        <v>104</v>
      </c>
      <c r="E7" s="22">
        <v>5</v>
      </c>
      <c r="F7" s="22" t="s">
        <v>112</v>
      </c>
      <c r="G7" s="25" t="s">
        <v>113</v>
      </c>
      <c r="H7" s="26" t="s">
        <v>114</v>
      </c>
      <c r="I7" s="27" t="s">
        <v>115</v>
      </c>
      <c r="J7" s="28" t="s">
        <v>116</v>
      </c>
    </row>
    <row r="8" ht="72" customHeight="1" spans="1:10" x14ac:dyDescent="0.25">
      <c r="A8" s="15" t="s">
        <v>71</v>
      </c>
      <c r="B8" s="16" t="s">
        <v>117</v>
      </c>
      <c r="C8" s="17" t="s">
        <v>73</v>
      </c>
      <c r="D8" s="18" t="s">
        <v>118</v>
      </c>
      <c r="E8" s="30">
        <v>4</v>
      </c>
      <c r="F8" s="15" t="s">
        <v>119</v>
      </c>
      <c r="G8" s="18" t="s">
        <v>120</v>
      </c>
      <c r="H8" s="19" t="s">
        <v>121</v>
      </c>
      <c r="I8" s="20" t="s">
        <v>122</v>
      </c>
      <c r="J8" s="21" t="s">
        <v>123</v>
      </c>
    </row>
    <row r="9" ht="72" customHeight="1" spans="1:10" x14ac:dyDescent="0.25">
      <c r="A9" s="31" t="s">
        <v>124</v>
      </c>
      <c r="B9" s="32" t="s">
        <v>125</v>
      </c>
      <c r="C9" s="33" t="s">
        <v>126</v>
      </c>
      <c r="D9" s="34" t="s">
        <v>127</v>
      </c>
      <c r="E9" s="31">
        <v>4</v>
      </c>
      <c r="F9" s="35" t="s">
        <v>83</v>
      </c>
      <c r="G9" s="34" t="s">
        <v>128</v>
      </c>
      <c r="H9" s="36" t="s">
        <v>129</v>
      </c>
      <c r="I9" s="37" t="s">
        <v>130</v>
      </c>
      <c r="J9" s="38" t="s">
        <v>131</v>
      </c>
    </row>
    <row r="10" ht="72" customHeight="1" spans="1:10" x14ac:dyDescent="0.25">
      <c r="A10" s="39" t="s">
        <v>124</v>
      </c>
      <c r="B10" s="40" t="s">
        <v>132</v>
      </c>
      <c r="C10" s="41" t="s">
        <v>133</v>
      </c>
      <c r="D10" s="42" t="s">
        <v>134</v>
      </c>
      <c r="E10" s="39">
        <v>4</v>
      </c>
      <c r="F10" s="43" t="s">
        <v>135</v>
      </c>
      <c r="G10" s="42" t="s">
        <v>136</v>
      </c>
      <c r="H10" s="44" t="s">
        <v>137</v>
      </c>
      <c r="I10" s="45" t="s">
        <v>138</v>
      </c>
      <c r="J10" s="46" t="s">
        <v>139</v>
      </c>
    </row>
    <row r="11" ht="72" customHeight="1" spans="1:10" x14ac:dyDescent="0.25">
      <c r="A11" s="31" t="s">
        <v>124</v>
      </c>
      <c r="B11" s="32" t="s">
        <v>140</v>
      </c>
      <c r="C11" s="33" t="s">
        <v>141</v>
      </c>
      <c r="D11" s="34" t="s">
        <v>142</v>
      </c>
      <c r="E11" s="47">
        <v>3</v>
      </c>
      <c r="F11" s="35" t="s">
        <v>143</v>
      </c>
      <c r="G11" s="34" t="s">
        <v>144</v>
      </c>
      <c r="H11" s="36" t="s">
        <v>145</v>
      </c>
      <c r="I11" s="37" t="s">
        <v>146</v>
      </c>
      <c r="J11" s="38" t="s">
        <v>147</v>
      </c>
    </row>
    <row r="12" ht="72" customHeight="1" spans="1:10" x14ac:dyDescent="0.25">
      <c r="A12" s="39" t="s">
        <v>124</v>
      </c>
      <c r="B12" s="40" t="s">
        <v>148</v>
      </c>
      <c r="C12" s="41" t="s">
        <v>73</v>
      </c>
      <c r="D12" s="42" t="s">
        <v>149</v>
      </c>
      <c r="E12" s="39">
        <v>4</v>
      </c>
      <c r="F12" s="43" t="s">
        <v>150</v>
      </c>
      <c r="G12" s="42" t="s">
        <v>151</v>
      </c>
      <c r="H12" s="44" t="s">
        <v>152</v>
      </c>
      <c r="I12" s="45" t="s">
        <v>153</v>
      </c>
      <c r="J12" s="46" t="s">
        <v>154</v>
      </c>
    </row>
    <row r="13" ht="72" customHeight="1" spans="1:10" x14ac:dyDescent="0.25">
      <c r="A13" s="31" t="s">
        <v>124</v>
      </c>
      <c r="B13" s="32" t="s">
        <v>155</v>
      </c>
      <c r="C13" s="33" t="s">
        <v>156</v>
      </c>
      <c r="D13" s="34" t="s">
        <v>157</v>
      </c>
      <c r="E13" s="31">
        <v>4</v>
      </c>
      <c r="F13" s="35" t="s">
        <v>75</v>
      </c>
      <c r="G13" s="34" t="s">
        <v>158</v>
      </c>
      <c r="H13" s="36" t="s">
        <v>159</v>
      </c>
      <c r="I13" s="37" t="s">
        <v>160</v>
      </c>
      <c r="J13" s="38" t="s">
        <v>161</v>
      </c>
    </row>
    <row r="14" ht="72" customHeight="1" spans="1:10" x14ac:dyDescent="0.25">
      <c r="A14" s="48" t="s">
        <v>162</v>
      </c>
      <c r="B14" s="49" t="s">
        <v>163</v>
      </c>
      <c r="C14" s="8" t="s">
        <v>73</v>
      </c>
      <c r="D14" s="50" t="s">
        <v>164</v>
      </c>
      <c r="E14" s="48">
        <v>3</v>
      </c>
      <c r="F14" s="6" t="s">
        <v>165</v>
      </c>
      <c r="G14" s="50" t="s">
        <v>166</v>
      </c>
      <c r="H14" s="5" t="s">
        <v>167</v>
      </c>
      <c r="I14" s="51" t="s">
        <v>168</v>
      </c>
      <c r="J14" s="52" t="s">
        <v>169</v>
      </c>
    </row>
    <row r="15" ht="72" customHeight="1" spans="1:10" x14ac:dyDescent="0.25">
      <c r="A15" s="53" t="s">
        <v>162</v>
      </c>
      <c r="B15" s="54" t="s">
        <v>170</v>
      </c>
      <c r="C15" s="55" t="s">
        <v>171</v>
      </c>
      <c r="D15" s="56" t="s">
        <v>172</v>
      </c>
      <c r="E15" s="53">
        <v>3</v>
      </c>
      <c r="F15" s="57" t="s">
        <v>173</v>
      </c>
      <c r="G15" s="56" t="s">
        <v>174</v>
      </c>
      <c r="H15" s="58" t="s">
        <v>175</v>
      </c>
      <c r="I15" s="59" t="s">
        <v>176</v>
      </c>
      <c r="J15" s="60" t="s">
        <v>177</v>
      </c>
    </row>
    <row r="16" ht="72" customHeight="1" spans="1:10" x14ac:dyDescent="0.25">
      <c r="A16" s="48" t="s">
        <v>162</v>
      </c>
      <c r="B16" s="49" t="s">
        <v>178</v>
      </c>
      <c r="C16" s="8" t="s">
        <v>179</v>
      </c>
      <c r="D16" s="50" t="s">
        <v>180</v>
      </c>
      <c r="E16" s="48">
        <v>2</v>
      </c>
      <c r="F16" s="6" t="s">
        <v>181</v>
      </c>
      <c r="G16" s="50" t="s">
        <v>182</v>
      </c>
      <c r="H16" s="5" t="s">
        <v>183</v>
      </c>
      <c r="I16" s="51" t="s">
        <v>184</v>
      </c>
      <c r="J16" s="52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88"/>
  </sheetPr>
  <dimension ref="A1:H11"/>
  <sheetFormatPr defaultRowHeight="15" outlineLevelRow="0" outlineLevelCol="0" x14ac:dyDescent="55"/>
  <cols>
    <col min="1" max="1" width="22" customWidth="1"/>
    <col min="2" max="2" width="16" customWidth="1"/>
    <col min="3" max="7" width="14" customWidth="1"/>
    <col min="8" max="8" width="16" customWidth="1"/>
  </cols>
  <sheetData>
    <row r="1" ht="32" customHeight="1" spans="1:8" x14ac:dyDescent="0.25">
      <c r="A1" s="61" t="s">
        <v>186</v>
      </c>
      <c r="B1" s="61"/>
      <c r="C1" s="61"/>
      <c r="D1" s="61"/>
      <c r="E1" s="61"/>
      <c r="F1" s="61"/>
      <c r="G1" s="61"/>
      <c r="H1" s="61"/>
    </row>
    <row r="2" ht="36" customHeight="1" spans="1:8" x14ac:dyDescent="0.25">
      <c r="A2" s="62" t="s">
        <v>187</v>
      </c>
      <c r="B2" s="62" t="s">
        <v>188</v>
      </c>
      <c r="C2" s="63" t="s">
        <v>189</v>
      </c>
      <c r="D2" s="63" t="s">
        <v>190</v>
      </c>
      <c r="E2" s="63" t="s">
        <v>191</v>
      </c>
      <c r="F2" s="63" t="s">
        <v>192</v>
      </c>
      <c r="G2" s="62" t="s">
        <v>193</v>
      </c>
      <c r="H2" s="62" t="s">
        <v>194</v>
      </c>
    </row>
    <row r="3" ht="28" customHeight="1" spans="1:8" x14ac:dyDescent="0.25">
      <c r="A3" s="16" t="s">
        <v>195</v>
      </c>
      <c r="B3" s="15" t="s">
        <v>196</v>
      </c>
      <c r="C3" s="20" t="s">
        <v>197</v>
      </c>
      <c r="D3" s="20" t="s">
        <v>198</v>
      </c>
      <c r="E3" s="20" t="s">
        <v>199</v>
      </c>
      <c r="F3" s="20" t="s">
        <v>200</v>
      </c>
      <c r="G3" s="64">
        <f>=C3*B3</f>
      </c>
      <c r="H3" s="65">
        <f>G3*12</f>
      </c>
    </row>
    <row r="4" ht="28" customHeight="1" spans="1:8" x14ac:dyDescent="0.25">
      <c r="A4" s="23" t="s">
        <v>201</v>
      </c>
      <c r="B4" s="22" t="s">
        <v>202</v>
      </c>
      <c r="C4" s="27" t="s">
        <v>203</v>
      </c>
      <c r="D4" s="27" t="s">
        <v>204</v>
      </c>
      <c r="E4" s="27" t="s">
        <v>197</v>
      </c>
      <c r="F4" s="27" t="s">
        <v>205</v>
      </c>
      <c r="G4" s="66">
        <f>=C4*B4</f>
      </c>
      <c r="H4" s="67">
        <f>G4*12</f>
      </c>
    </row>
    <row r="5" ht="28" customHeight="1" spans="1:8" x14ac:dyDescent="0.25">
      <c r="A5" s="16" t="s">
        <v>206</v>
      </c>
      <c r="B5" s="15" t="s">
        <v>207</v>
      </c>
      <c r="C5" s="20" t="s">
        <v>208</v>
      </c>
      <c r="D5" s="20" t="s">
        <v>209</v>
      </c>
      <c r="E5" s="20" t="s">
        <v>210</v>
      </c>
      <c r="F5" s="20" t="s">
        <v>211</v>
      </c>
      <c r="G5" s="64">
        <f>=C5*B5</f>
      </c>
      <c r="H5" s="65">
        <f>G5*12</f>
      </c>
    </row>
    <row r="6" ht="28" customHeight="1" spans="1:8" x14ac:dyDescent="0.25">
      <c r="A6" s="23" t="s">
        <v>74</v>
      </c>
      <c r="B6" s="22" t="s">
        <v>212</v>
      </c>
      <c r="C6" s="27" t="s">
        <v>208</v>
      </c>
      <c r="D6" s="27" t="s">
        <v>209</v>
      </c>
      <c r="E6" s="27" t="s">
        <v>203</v>
      </c>
      <c r="F6" s="27" t="s">
        <v>210</v>
      </c>
      <c r="G6" s="66">
        <f>=C6*B6</f>
      </c>
      <c r="H6" s="67">
        <f>G6*12</f>
      </c>
    </row>
    <row r="7" ht="28" customHeight="1" spans="1:8" x14ac:dyDescent="0.25">
      <c r="A7" s="16" t="s">
        <v>213</v>
      </c>
      <c r="B7" s="15" t="s">
        <v>214</v>
      </c>
      <c r="C7" s="20" t="s">
        <v>208</v>
      </c>
      <c r="D7" s="20" t="s">
        <v>208</v>
      </c>
      <c r="E7" s="20" t="s">
        <v>209</v>
      </c>
      <c r="F7" s="20" t="s">
        <v>215</v>
      </c>
      <c r="G7" s="64">
        <f>=C7*B7</f>
      </c>
      <c r="H7" s="65">
        <f>G7*12</f>
      </c>
    </row>
    <row r="8" ht="28" customHeight="1" spans="1:8" x14ac:dyDescent="0.25">
      <c r="A8" s="23" t="s">
        <v>216</v>
      </c>
      <c r="B8" s="22" t="s">
        <v>217</v>
      </c>
      <c r="C8" s="27" t="s">
        <v>218</v>
      </c>
      <c r="D8" s="27" t="s">
        <v>219</v>
      </c>
      <c r="E8" s="27" t="s">
        <v>220</v>
      </c>
      <c r="F8" s="27" t="s">
        <v>221</v>
      </c>
      <c r="G8" s="66">
        <f>=C8*8</f>
      </c>
      <c r="H8" s="67">
        <f>G8*12</f>
      </c>
    </row>
    <row r="9" ht="36" customHeight="1" spans="1:8" x14ac:dyDescent="0.25">
      <c r="A9" s="68" t="s">
        <v>222</v>
      </c>
      <c r="B9" s="68"/>
      <c r="C9" s="68"/>
      <c r="D9" s="68"/>
      <c r="E9" s="68"/>
      <c r="F9" s="68"/>
      <c r="G9" s="69">
        <f>SUM(G3:G8)</f>
      </c>
      <c r="H9" s="70">
        <f>G9*12</f>
      </c>
    </row>
    <row r="11" ht="28" customHeight="1" spans="1:8" x14ac:dyDescent="0.25">
      <c r="A11" s="71" t="s">
        <v>223</v>
      </c>
      <c r="B11" s="71"/>
      <c r="C11" s="71"/>
      <c r="D11" s="71"/>
      <c r="E11" s="71"/>
      <c r="F11" s="71"/>
      <c r="G11" s="71"/>
      <c r="H11" s="71"/>
    </row>
  </sheetData>
  <mergeCells count="3">
    <mergeCell ref="A1:H1"/>
    <mergeCell ref="A9:F9"/>
    <mergeCell ref="A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 de Negocio</vt:lpstr>
      <vt:lpstr>Clientes Objetivo</vt:lpstr>
      <vt:lpstr>Revenue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2026-03-18T20:41:11Z</dcterms:created>
  <dcterms:modified xsi:type="dcterms:W3CDTF">2026-03-18T20:41:11Z</dcterms:modified>
</cp:coreProperties>
</file>